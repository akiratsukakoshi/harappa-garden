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ukap\Dropbox\PC間やり取り\garden雛形\"/>
    </mc:Choice>
  </mc:AlternateContent>
  <xr:revisionPtr revIDLastSave="0" documentId="8_{C62636BF-2B64-4659-9DF7-DF7FDEFCEA04}" xr6:coauthVersionLast="47" xr6:coauthVersionMax="47" xr10:uidLastSave="{00000000-0000-0000-0000-000000000000}"/>
  <bookViews>
    <workbookView xWindow="-110" yWindow="-110" windowWidth="19420" windowHeight="11020" xr2:uid="{BEA4FCEE-6D1F-48F2-BBF3-1D27D2391B06}"/>
  </bookViews>
  <sheets>
    <sheet name="請求書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" i="1" l="1"/>
  <c r="D25" i="1"/>
  <c r="E25" i="1"/>
  <c r="F25" i="1"/>
  <c r="D23" i="1"/>
  <c r="D22" i="1"/>
  <c r="E22" i="1"/>
  <c r="F22" i="1"/>
  <c r="D21" i="1"/>
  <c r="E21" i="1"/>
  <c r="F21" i="1"/>
  <c r="E20" i="1"/>
  <c r="D20" i="1"/>
  <c r="F20" i="1"/>
  <c r="D19" i="1"/>
  <c r="E19" i="1"/>
  <c r="F3" i="1"/>
  <c r="E23" i="1"/>
  <c r="F23" i="1"/>
  <c r="F19" i="1"/>
</calcChain>
</file>

<file path=xl/sharedStrings.xml><?xml version="1.0" encoding="utf-8"?>
<sst xmlns="http://schemas.openxmlformats.org/spreadsheetml/2006/main" count="39" uniqueCount="37">
  <si>
    <t>品名</t>
    <rPh sb="0" eb="2">
      <t>ヒンメイ</t>
    </rPh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</si>
  <si>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</si>
  <si>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</si>
  <si>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>(単位：円）</t>
    <rPh sb="1" eb="3">
      <t>タンイ</t>
    </rPh>
    <rPh sb="4" eb="5">
      <t>エン</t>
    </rPh>
    <phoneticPr fontId="2"/>
  </si>
  <si>
    <t>小計</t>
    <rPh sb="0" eb="2">
      <t>ショウケイ</t>
    </rPh>
    <phoneticPr fontId="2"/>
  </si>
  <si>
    <t>税込小計</t>
    <rPh sb="0" eb="2">
      <t>ゼイコミ</t>
    </rPh>
    <rPh sb="2" eb="4">
      <t>ショウケイ</t>
    </rPh>
    <phoneticPr fontId="2"/>
  </si>
  <si>
    <t>消費税額</t>
    <rPh sb="0" eb="3">
      <t>ショウヒゼイ</t>
    </rPh>
    <rPh sb="3" eb="4">
      <t>ガク</t>
    </rPh>
    <phoneticPr fontId="2"/>
  </si>
  <si>
    <t>＊　お振込先：</t>
  </si>
  <si>
    <t xml:space="preserve"> </t>
    <phoneticPr fontId="2"/>
  </si>
  <si>
    <t>預金科目 ： 普通預金</t>
    <rPh sb="0" eb="2">
      <t>ヨキン</t>
    </rPh>
    <rPh sb="2" eb="4">
      <t>カモク</t>
    </rPh>
    <rPh sb="7" eb="9">
      <t>フツウ</t>
    </rPh>
    <rPh sb="9" eb="11">
      <t>ヨキン</t>
    </rPh>
    <phoneticPr fontId="2"/>
  </si>
  <si>
    <t>お振込期限：</t>
    <rPh sb="1" eb="3">
      <t>フリコ</t>
    </rPh>
    <rPh sb="3" eb="5">
      <t>キゲン</t>
    </rPh>
    <phoneticPr fontId="2"/>
  </si>
  <si>
    <t>請求日：</t>
    <rPh sb="0" eb="2">
      <t>セイキュウ</t>
    </rPh>
    <rPh sb="2" eb="3">
      <t>ビ</t>
    </rPh>
    <phoneticPr fontId="2"/>
  </si>
  <si>
    <t>合計ご請求額：</t>
    <phoneticPr fontId="2"/>
  </si>
  <si>
    <t>請求書</t>
    <rPh sb="0" eb="2">
      <t>セイキュウ</t>
    </rPh>
    <rPh sb="2" eb="3">
      <t>ショ</t>
    </rPh>
    <phoneticPr fontId="2"/>
  </si>
  <si>
    <t>TEL : 046-873-1695</t>
    <phoneticPr fontId="2"/>
  </si>
  <si>
    <t>支店名 ： 逗子支店</t>
    <rPh sb="0" eb="3">
      <t>シテンメイ</t>
    </rPh>
    <rPh sb="6" eb="8">
      <t>ズシ</t>
    </rPh>
    <rPh sb="8" eb="10">
      <t>シテン</t>
    </rPh>
    <phoneticPr fontId="2"/>
  </si>
  <si>
    <t>フリガナ ： ハラッパ カ）</t>
    <phoneticPr fontId="2"/>
  </si>
  <si>
    <t>口座名義 ： HARAPPA株式会社　代表取締役　塚越　暁</t>
    <rPh sb="0" eb="2">
      <t>コウザ</t>
    </rPh>
    <rPh sb="2" eb="4">
      <t>メイギ</t>
    </rPh>
    <rPh sb="14" eb="18">
      <t>カブシキガイシャ</t>
    </rPh>
    <rPh sb="19" eb="21">
      <t>ダイヒョウ</t>
    </rPh>
    <rPh sb="21" eb="24">
      <t>トリシマリヤク</t>
    </rPh>
    <rPh sb="25" eb="27">
      <t>ツカコシ</t>
    </rPh>
    <rPh sb="28" eb="29">
      <t>アキラ</t>
    </rPh>
    <phoneticPr fontId="2"/>
  </si>
  <si>
    <t>HARAPPA株式会社</t>
    <rPh sb="7" eb="11">
      <t>カブシキガイシャ</t>
    </rPh>
    <phoneticPr fontId="2"/>
  </si>
  <si>
    <t>代表取締役 塚越　暁</t>
    <rPh sb="0" eb="2">
      <t>ダイヒョウ</t>
    </rPh>
    <rPh sb="2" eb="5">
      <t>トリシマリヤク</t>
    </rPh>
    <rPh sb="6" eb="8">
      <t>ツカコシ</t>
    </rPh>
    <rPh sb="9" eb="10">
      <t>アキラ</t>
    </rPh>
    <phoneticPr fontId="2"/>
  </si>
  <si>
    <t>tuka@harappa-daigaku.jp</t>
    <phoneticPr fontId="2"/>
  </si>
  <si>
    <t>銀行名 ：かながわ信用金庫</t>
    <rPh sb="0" eb="3">
      <t>ギンコウメイ</t>
    </rPh>
    <rPh sb="9" eb="11">
      <t>シンヨウ</t>
    </rPh>
    <rPh sb="11" eb="13">
      <t>キンコ</t>
    </rPh>
    <phoneticPr fontId="2"/>
  </si>
  <si>
    <r>
      <t xml:space="preserve">銀行番号 ： </t>
    </r>
    <r>
      <rPr>
        <sz val="11"/>
        <rFont val="ＭＳ Ｐゴシック"/>
        <family val="3"/>
        <charset val="128"/>
      </rPr>
      <t>1281</t>
    </r>
    <rPh sb="0" eb="2">
      <t>ギンコウ</t>
    </rPh>
    <rPh sb="2" eb="4">
      <t>バンゴウ</t>
    </rPh>
    <phoneticPr fontId="2"/>
  </si>
  <si>
    <r>
      <t xml:space="preserve">支店番号 ： </t>
    </r>
    <r>
      <rPr>
        <sz val="11"/>
        <rFont val="ＭＳ Ｐゴシック"/>
        <family val="3"/>
        <charset val="128"/>
      </rPr>
      <t>003</t>
    </r>
    <rPh sb="0" eb="2">
      <t>シテン</t>
    </rPh>
    <rPh sb="2" eb="4">
      <t>バンゴウ</t>
    </rPh>
    <phoneticPr fontId="2"/>
  </si>
  <si>
    <r>
      <t xml:space="preserve">口座番号 ： </t>
    </r>
    <r>
      <rPr>
        <sz val="11"/>
        <rFont val="ＭＳ Ｐゴシック"/>
        <family val="3"/>
        <charset val="128"/>
      </rPr>
      <t>1212683</t>
    </r>
    <rPh sb="0" eb="2">
      <t>コウザ</t>
    </rPh>
    <rPh sb="2" eb="4">
      <t>バンゴウ</t>
    </rPh>
    <phoneticPr fontId="2"/>
  </si>
  <si>
    <t>毎度お引き立てにあずかり、ありがとうございます。
下記のようにご請求申し上げますので、宜しくご査収ください。</t>
    <phoneticPr fontId="2"/>
  </si>
  <si>
    <t>〒249-0007</t>
    <phoneticPr fontId="2"/>
  </si>
  <si>
    <t>神奈川県逗子市新宿3-5-40</t>
    <rPh sb="0" eb="4">
      <t>カナガワケン</t>
    </rPh>
    <rPh sb="4" eb="7">
      <t>ズシシ</t>
    </rPh>
    <rPh sb="7" eb="9">
      <t>シンジュク</t>
    </rPh>
    <phoneticPr fontId="2"/>
  </si>
  <si>
    <t>登録番号</t>
    <rPh sb="0" eb="4">
      <t>トウロクバンゴウ</t>
    </rPh>
    <phoneticPr fontId="2"/>
  </si>
  <si>
    <t>T6021001056916</t>
    <phoneticPr fontId="2"/>
  </si>
  <si>
    <t>株式会社エムティーアイ 御中</t>
    <rPh sb="12" eb="14">
      <t>オンチュウ</t>
    </rPh>
    <phoneticPr fontId="2"/>
  </si>
  <si>
    <t>全体企画費　※企画設計、プランニング</t>
    <rPh sb="0" eb="2">
      <t>ゼンタイ</t>
    </rPh>
    <rPh sb="2" eb="4">
      <t>キカク</t>
    </rPh>
    <rPh sb="4" eb="5">
      <t>ヒ</t>
    </rPh>
    <rPh sb="7" eb="9">
      <t>キカク</t>
    </rPh>
    <rPh sb="9" eb="11">
      <t>セッケイ</t>
    </rPh>
    <phoneticPr fontId="2"/>
  </si>
  <si>
    <t>運営・プロデュース費　※当日運営</t>
    <rPh sb="0" eb="2">
      <t>ウンエイ</t>
    </rPh>
    <rPh sb="9" eb="10">
      <t>ヒ</t>
    </rPh>
    <rPh sb="12" eb="14">
      <t>トウジツ</t>
    </rPh>
    <rPh sb="14" eb="16">
      <t>ウンエイ</t>
    </rPh>
    <phoneticPr fontId="2"/>
  </si>
  <si>
    <t>運営サポートスタッフ　単位：人日 ※安全管理含む</t>
    <rPh sb="0" eb="2">
      <t>ウンエイ</t>
    </rPh>
    <rPh sb="11" eb="13">
      <t>タンイ</t>
    </rPh>
    <rPh sb="14" eb="15">
      <t>ヒト</t>
    </rPh>
    <rPh sb="15" eb="16">
      <t>ニチ</t>
    </rPh>
    <rPh sb="18" eb="20">
      <t>アンゼン</t>
    </rPh>
    <rPh sb="20" eb="22">
      <t>カンリ</t>
    </rPh>
    <rPh sb="22" eb="23">
      <t>フク</t>
    </rPh>
    <phoneticPr fontId="2"/>
  </si>
  <si>
    <t>備品レンタル　※調理器具、工具その他運営関連</t>
    <rPh sb="0" eb="2">
      <t>ビヒン</t>
    </rPh>
    <rPh sb="8" eb="12">
      <t>チョウリキグ</t>
    </rPh>
    <rPh sb="13" eb="15">
      <t>コウグ</t>
    </rPh>
    <rPh sb="17" eb="18">
      <t>ホカ</t>
    </rPh>
    <rPh sb="18" eb="20">
      <t>ウンエイ</t>
    </rPh>
    <rPh sb="20" eb="22">
      <t>カンレン</t>
    </rPh>
    <phoneticPr fontId="2"/>
  </si>
  <si>
    <t>交通費・印刷費ほか諸経費　※事前下見・レンタカー交通費含む</t>
    <rPh sb="0" eb="3">
      <t>コウツウヒ</t>
    </rPh>
    <rPh sb="4" eb="7">
      <t>インサツヒ</t>
    </rPh>
    <rPh sb="9" eb="10">
      <t>ショ</t>
    </rPh>
    <rPh sb="10" eb="12">
      <t>ケイヒ</t>
    </rPh>
    <rPh sb="14" eb="18">
      <t>ジゼンシタミ</t>
    </rPh>
    <rPh sb="24" eb="27">
      <t>コウツウヒ</t>
    </rPh>
    <rPh sb="27" eb="28">
      <t>フク</t>
    </rPh>
    <phoneticPr fontId="2"/>
  </si>
  <si>
    <t>会場費・宿泊費・食費一式　※別途お見積りの通り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</si>
</sst>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¥&quot;#,##0;&quot;¥&quot;\-#,##0"/>
    <numFmt numFmtId="6" formatCode="&quot;¥&quot;#,##0;[Red]&quot;¥&quot;\-#,##0"/>
    <numFmt numFmtId="179" formatCode="[$-411]ggge&quot;年&quot;m&quot;月&quot;d&quot;日&quot;;@"/>
    <numFmt numFmtId="180" formatCode="&quot;¥&quot;#,##0_);[Red]\(&quot;¥&quot;#,##0\)"/>
  </numFmts>
  <fonts count="1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name val="ＭＳ 明朝"/>
      <family val="1"/>
      <charset val="128"/>
    </font>
    <font>
      <sz val="11"/>
      <name val="ＭＳ Ｐ明朝"/>
      <family val="1"/>
      <charset val="128"/>
    </font>
    <font>
      <sz val="9"/>
      <name val="ＭＳ Ｐ明朝"/>
      <family val="1"/>
      <charset val="128"/>
    </font>
    <font>
      <b/>
      <sz val="11"/>
      <name val="ＭＳ Ｐゴシック"/>
      <family val="3"/>
      <charset val="128"/>
    </font>
    <font>
      <b/>
      <sz val="22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9" fontId="0" fillId="0" borderId="0" xfId="0" applyNumberFormat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Border="1">
      <alignment vertical="center"/>
    </xf>
    <xf numFmtId="0" fontId="3" fillId="0" borderId="0" xfId="0" applyFont="1">
      <alignment vertical="center"/>
    </xf>
    <xf numFmtId="179" fontId="3" fillId="0" borderId="0" xfId="0" applyNumberFormat="1" applyFont="1" applyBorder="1">
      <alignment vertical="center"/>
    </xf>
    <xf numFmtId="0" fontId="0" fillId="0" borderId="3" xfId="0" applyBorder="1">
      <alignment vertical="center"/>
    </xf>
    <xf numFmtId="0" fontId="4" fillId="0" borderId="0" xfId="0" applyFont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5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80" fontId="0" fillId="0" borderId="3" xfId="0" applyNumberFormat="1" applyBorder="1">
      <alignment vertical="center"/>
    </xf>
    <xf numFmtId="180" fontId="0" fillId="0" borderId="5" xfId="0" applyNumberFormat="1" applyBorder="1">
      <alignment vertical="center"/>
    </xf>
    <xf numFmtId="5" fontId="0" fillId="0" borderId="3" xfId="0" applyNumberFormat="1" applyBorder="1">
      <alignment vertical="center"/>
    </xf>
    <xf numFmtId="5" fontId="0" fillId="0" borderId="2" xfId="0" applyNumberFormat="1" applyBorder="1">
      <alignment vertical="center"/>
    </xf>
    <xf numFmtId="5" fontId="0" fillId="0" borderId="1" xfId="0" applyNumberFormat="1" applyBorder="1">
      <alignment vertical="center"/>
    </xf>
    <xf numFmtId="180" fontId="0" fillId="0" borderId="6" xfId="0" applyNumberFormat="1" applyBorder="1">
      <alignment vertical="center"/>
    </xf>
    <xf numFmtId="0" fontId="0" fillId="0" borderId="7" xfId="0" applyBorder="1">
      <alignment vertical="center"/>
    </xf>
    <xf numFmtId="180" fontId="0" fillId="0" borderId="8" xfId="0" applyNumberFormat="1" applyBorder="1">
      <alignment vertical="center"/>
    </xf>
    <xf numFmtId="179" fontId="10" fillId="0" borderId="9" xfId="0" applyNumberFormat="1" applyFont="1" applyBorder="1">
      <alignment vertical="center"/>
    </xf>
    <xf numFmtId="0" fontId="1" fillId="0" borderId="0" xfId="0" applyFont="1" applyBorder="1" applyAlignment="1">
      <alignment horizontal="right" vertical="center"/>
    </xf>
    <xf numFmtId="6" fontId="1" fillId="0" borderId="0" xfId="0" applyNumberFormat="1" applyFont="1" applyBorder="1" applyAlignment="1">
      <alignment horizontal="right" vertical="center"/>
    </xf>
    <xf numFmtId="0" fontId="0" fillId="0" borderId="9" xfId="0" applyBorder="1">
      <alignment vertical="center"/>
    </xf>
    <xf numFmtId="6" fontId="8" fillId="0" borderId="10" xfId="0" applyNumberFormat="1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58" fontId="12" fillId="0" borderId="10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13" fillId="0" borderId="2" xfId="0" applyFont="1" applyBorder="1">
      <alignment vertical="center"/>
    </xf>
    <xf numFmtId="0" fontId="0" fillId="0" borderId="0" xfId="0" applyFont="1" applyAlignment="1">
      <alignment horizontal="left" vertical="center"/>
    </xf>
    <xf numFmtId="0" fontId="0" fillId="0" borderId="11" xfId="0" applyBorder="1">
      <alignment vertical="center"/>
    </xf>
    <xf numFmtId="0" fontId="0" fillId="0" borderId="2" xfId="0" applyBorder="1" applyAlignment="1"/>
    <xf numFmtId="0" fontId="0" fillId="0" borderId="3" xfId="0" applyBorder="1" applyAlignment="1"/>
    <xf numFmtId="0" fontId="2" fillId="0" borderId="3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6" fontId="8" fillId="0" borderId="10" xfId="0" applyNumberFormat="1" applyFont="1" applyBorder="1" applyAlignment="1">
      <alignment horizontal="right" vertical="center"/>
    </xf>
    <xf numFmtId="0" fontId="0" fillId="0" borderId="0" xfId="0">
      <alignment vertical="center"/>
    </xf>
    <xf numFmtId="0" fontId="11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165100</xdr:colOff>
      <xdr:row>11</xdr:row>
      <xdr:rowOff>0</xdr:rowOff>
    </xdr:from>
    <xdr:to>
      <xdr:col>5</xdr:col>
      <xdr:colOff>1028700</xdr:colOff>
      <xdr:row>14</xdr:row>
      <xdr:rowOff>177800</xdr:rowOff>
    </xdr:to>
    <xdr:pic>
      <xdr:nvPicPr>
        <xdr:cNvPr id="1043" name="図 2">
          <a:extLst>
            <a:ext uri="{FF2B5EF4-FFF2-40B4-BE49-F238E27FC236}">
              <a16:creationId xmlns:a16="http://schemas.microsoft.com/office/drawing/2014/main" id="{C04E4C91-101A-F756-B9A5-45FCCB6C3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0050" y="2578100"/>
          <a:ext cx="8636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98BF-3805-4655-835D-96B7E3D8169F}">
  <sheetPr>
    <pageSetUpPr fitToPage="1"/>
  </sheetPr>
  <dimension ref="A1:F56"/>
  <sheetViews>
    <sheetView tabSelected="1" workbookViewId="0">
      <selection activeCell="A14" sqref="A14"/>
    </sheetView>
  </sheetViews>
  <sheetFormatPr defaultColWidth="15.6328125" defaultRowHeight="18" customHeight="1" x14ac:dyDescent="0.2"/>
  <cols>
    <col min="1" max="1" width="35.81640625" customWidth="1"/>
    <col min="2" max="2" width="11.1796875" customWidth="1"/>
    <col min="3" max="3" width="7" customWidth="1"/>
    <col min="4" max="4" width="13.1796875" customWidth="1"/>
    <col min="5" max="5" width="8.90625" customWidth="1"/>
    <col min="6" max="6" width="15.7265625" bestFit="1" customWidth="1"/>
  </cols>
  <sheetData>
    <row r="1" spans="1:6" ht="26.25" customHeight="1" x14ac:dyDescent="0.2">
      <c r="A1" s="40" t="s">
        <v>13</v>
      </c>
      <c r="B1" s="40"/>
      <c r="C1" s="40"/>
      <c r="D1" s="40"/>
      <c r="E1" s="40"/>
      <c r="F1" s="40"/>
    </row>
    <row r="2" spans="1:6" ht="10.5" customHeight="1" x14ac:dyDescent="0.2">
      <c r="C2" s="3"/>
      <c r="D2" s="3"/>
    </row>
    <row r="3" spans="1:6" ht="18" customHeight="1" x14ac:dyDescent="0.2">
      <c r="E3" s="26" t="s">
        <v>11</v>
      </c>
      <c r="F3" s="23">
        <f ca="1">TODAY()</f>
        <v>46192</v>
      </c>
    </row>
    <row r="4" spans="1:6" s="8" customFormat="1" ht="32.25" customHeight="1" x14ac:dyDescent="0.2">
      <c r="A4" s="46" t="s">
        <v>30</v>
      </c>
      <c r="B4" s="46"/>
      <c r="C4" s="46"/>
      <c r="D4" s="46"/>
      <c r="F4" s="9"/>
    </row>
    <row r="5" spans="1:6" s="8" customFormat="1" ht="16.5" customHeight="1" thickBot="1" x14ac:dyDescent="0.25">
      <c r="A5" s="43"/>
      <c r="B5" s="44"/>
      <c r="F5" s="9"/>
    </row>
    <row r="6" spans="1:6" ht="10.5" customHeight="1" x14ac:dyDescent="0.2">
      <c r="F6" s="5"/>
    </row>
    <row r="7" spans="1:6" ht="18" customHeight="1" x14ac:dyDescent="0.2">
      <c r="A7" s="42" t="s">
        <v>25</v>
      </c>
      <c r="B7" s="42"/>
      <c r="C7" s="42"/>
      <c r="D7" s="42"/>
      <c r="E7" s="42"/>
      <c r="F7" s="5"/>
    </row>
    <row r="8" spans="1:6" ht="26.25" customHeight="1" x14ac:dyDescent="0.2">
      <c r="A8" s="42"/>
      <c r="B8" s="42"/>
      <c r="C8" s="42"/>
      <c r="D8" s="42"/>
      <c r="E8" s="42"/>
      <c r="F8" s="5"/>
    </row>
    <row r="9" spans="1:6" ht="9.75" customHeight="1" x14ac:dyDescent="0.2">
      <c r="A9" s="6"/>
      <c r="B9" s="6"/>
      <c r="C9" s="6"/>
      <c r="D9" s="6"/>
      <c r="E9" s="6"/>
      <c r="F9" s="5"/>
    </row>
    <row r="10" spans="1:6" ht="18" customHeight="1" x14ac:dyDescent="0.2">
      <c r="E10" s="45" t="s">
        <v>18</v>
      </c>
      <c r="F10" s="45"/>
    </row>
    <row r="11" spans="1:6" ht="18" customHeight="1" x14ac:dyDescent="0.2">
      <c r="E11" s="45" t="s">
        <v>19</v>
      </c>
      <c r="F11" s="45"/>
    </row>
    <row r="12" spans="1:6" ht="18" customHeight="1" x14ac:dyDescent="0.2">
      <c r="E12" s="45" t="s">
        <v>26</v>
      </c>
      <c r="F12" s="45"/>
    </row>
    <row r="13" spans="1:6" ht="18" customHeight="1" x14ac:dyDescent="0.2">
      <c r="E13" s="41" t="s">
        <v>27</v>
      </c>
      <c r="F13" s="41"/>
    </row>
    <row r="14" spans="1:6" ht="18" customHeight="1" x14ac:dyDescent="0.2">
      <c r="E14" s="41" t="s">
        <v>14</v>
      </c>
      <c r="F14" s="41"/>
    </row>
    <row r="15" spans="1:6" ht="18" customHeight="1" x14ac:dyDescent="0.2">
      <c r="E15" s="49" t="s">
        <v>20</v>
      </c>
      <c r="F15" s="49"/>
    </row>
    <row r="16" spans="1:6" ht="6" customHeight="1" x14ac:dyDescent="0.2">
      <c r="E16" s="4"/>
      <c r="F16" s="4"/>
    </row>
    <row r="17" spans="1:6" ht="15" customHeight="1" thickBot="1" x14ac:dyDescent="0.25">
      <c r="F17" s="11" t="s">
        <v>3</v>
      </c>
    </row>
    <row r="18" spans="1:6" s="14" customFormat="1" ht="33" customHeight="1" thickBot="1" x14ac:dyDescent="0.25">
      <c r="A18" s="12" t="s">
        <v>0</v>
      </c>
      <c r="B18" s="12" t="s">
        <v>2</v>
      </c>
      <c r="C18" s="12" t="s">
        <v>1</v>
      </c>
      <c r="D18" s="12" t="s">
        <v>4</v>
      </c>
      <c r="E18" s="12" t="s">
        <v>6</v>
      </c>
      <c r="F18" s="13" t="s">
        <v>5</v>
      </c>
    </row>
    <row r="19" spans="1:6" ht="13.5" thickTop="1" x14ac:dyDescent="0.2">
      <c r="A19" s="36" t="s">
        <v>31</v>
      </c>
      <c r="B19" s="17">
        <v>600000</v>
      </c>
      <c r="C19" s="33">
        <v>1</v>
      </c>
      <c r="D19" s="15">
        <f>B19*C19</f>
        <v>600000</v>
      </c>
      <c r="E19" s="15">
        <f>D19*0.1</f>
        <v>60000</v>
      </c>
      <c r="F19" s="16">
        <f>D19+E19</f>
        <v>660000</v>
      </c>
    </row>
    <row r="20" spans="1:6" ht="11" customHeight="1" x14ac:dyDescent="0.2">
      <c r="A20" s="36" t="s">
        <v>32</v>
      </c>
      <c r="B20" s="17">
        <v>300000</v>
      </c>
      <c r="C20" s="34">
        <v>2</v>
      </c>
      <c r="D20" s="15">
        <f>B20*C20</f>
        <v>600000</v>
      </c>
      <c r="E20" s="15">
        <f t="shared" ref="E20:E25" si="0">D20*0.1</f>
        <v>60000</v>
      </c>
      <c r="F20" s="16">
        <f>D20+E20</f>
        <v>660000</v>
      </c>
    </row>
    <row r="21" spans="1:6" ht="11" customHeight="1" x14ac:dyDescent="0.2">
      <c r="A21" s="36" t="s">
        <v>33</v>
      </c>
      <c r="B21" s="17">
        <v>200000</v>
      </c>
      <c r="C21" s="34">
        <v>2</v>
      </c>
      <c r="D21" s="15">
        <f>B21*C21</f>
        <v>400000</v>
      </c>
      <c r="E21" s="15">
        <f t="shared" si="0"/>
        <v>40000</v>
      </c>
      <c r="F21" s="16">
        <f>D21+E21</f>
        <v>440000</v>
      </c>
    </row>
    <row r="22" spans="1:6" ht="11" customHeight="1" x14ac:dyDescent="0.2">
      <c r="A22" s="36" t="s">
        <v>34</v>
      </c>
      <c r="B22" s="17">
        <v>100000</v>
      </c>
      <c r="C22" s="34">
        <v>1</v>
      </c>
      <c r="D22" s="15">
        <f>B22*C22</f>
        <v>100000</v>
      </c>
      <c r="E22" s="15">
        <f t="shared" si="0"/>
        <v>10000</v>
      </c>
      <c r="F22" s="16">
        <f>D22+E22</f>
        <v>110000</v>
      </c>
    </row>
    <row r="23" spans="1:6" ht="11" customHeight="1" x14ac:dyDescent="0.2">
      <c r="A23" s="37" t="s">
        <v>35</v>
      </c>
      <c r="B23" s="17">
        <v>100000</v>
      </c>
      <c r="C23" s="34">
        <v>1</v>
      </c>
      <c r="D23" s="15">
        <f>B23*C23</f>
        <v>100000</v>
      </c>
      <c r="E23" s="15">
        <f t="shared" si="0"/>
        <v>10000</v>
      </c>
      <c r="F23" s="16">
        <f>D23+E23</f>
        <v>110000</v>
      </c>
    </row>
    <row r="24" spans="1:6" ht="11" customHeight="1" x14ac:dyDescent="0.2">
      <c r="A24" s="31"/>
      <c r="B24" s="17"/>
      <c r="C24" s="34"/>
      <c r="D24" s="15"/>
      <c r="E24" s="15"/>
      <c r="F24" s="16"/>
    </row>
    <row r="25" spans="1:6" ht="11" customHeight="1" x14ac:dyDescent="0.2">
      <c r="A25" s="37" t="s">
        <v>36</v>
      </c>
      <c r="B25" s="17">
        <v>1222727</v>
      </c>
      <c r="C25" s="34">
        <v>1</v>
      </c>
      <c r="D25" s="15">
        <f>B25*C25</f>
        <v>1222727</v>
      </c>
      <c r="E25" s="15">
        <f t="shared" si="0"/>
        <v>122272.70000000001</v>
      </c>
      <c r="F25" s="16">
        <f>D25+E25</f>
        <v>1344999.7</v>
      </c>
    </row>
    <row r="26" spans="1:6" ht="11" customHeight="1" x14ac:dyDescent="0.2">
      <c r="A26" s="31"/>
      <c r="B26" s="17"/>
      <c r="C26" s="35"/>
      <c r="D26" s="15"/>
      <c r="E26" s="15"/>
      <c r="F26" s="16"/>
    </row>
    <row r="27" spans="1:6" ht="11" customHeight="1" x14ac:dyDescent="0.2">
      <c r="A27" s="31"/>
      <c r="B27" s="17"/>
      <c r="C27" s="35"/>
      <c r="D27" s="15"/>
      <c r="E27" s="15"/>
      <c r="F27" s="16"/>
    </row>
    <row r="28" spans="1:6" ht="11" customHeight="1" x14ac:dyDescent="0.2">
      <c r="A28" s="31"/>
      <c r="B28" s="18"/>
      <c r="C28" s="35"/>
      <c r="D28" s="15"/>
      <c r="E28" s="15"/>
      <c r="F28" s="16"/>
    </row>
    <row r="29" spans="1:6" ht="11" customHeight="1" x14ac:dyDescent="0.2">
      <c r="A29" s="31"/>
      <c r="B29" s="18"/>
      <c r="C29" s="35"/>
      <c r="D29" s="15"/>
      <c r="E29" s="15"/>
      <c r="F29" s="16"/>
    </row>
    <row r="30" spans="1:6" ht="11" customHeight="1" x14ac:dyDescent="0.2">
      <c r="A30" s="31"/>
      <c r="B30" s="18"/>
      <c r="C30" s="35"/>
      <c r="D30" s="15"/>
      <c r="E30" s="15"/>
      <c r="F30" s="16"/>
    </row>
    <row r="31" spans="1:6" ht="11" customHeight="1" x14ac:dyDescent="0.2">
      <c r="A31" s="31"/>
      <c r="B31" s="18"/>
      <c r="C31" s="35"/>
      <c r="D31" s="15"/>
      <c r="E31" s="15"/>
      <c r="F31" s="16"/>
    </row>
    <row r="32" spans="1:6" ht="11" customHeight="1" x14ac:dyDescent="0.2">
      <c r="A32" s="31"/>
      <c r="B32" s="18"/>
      <c r="C32" s="35"/>
      <c r="D32" s="15"/>
      <c r="E32" s="15"/>
      <c r="F32" s="16"/>
    </row>
    <row r="33" spans="1:6" ht="11" customHeight="1" x14ac:dyDescent="0.2">
      <c r="A33" s="31"/>
      <c r="B33" s="18"/>
      <c r="C33" s="35"/>
      <c r="D33" s="15"/>
      <c r="E33" s="15"/>
      <c r="F33" s="16"/>
    </row>
    <row r="34" spans="1:6" ht="11" customHeight="1" x14ac:dyDescent="0.2">
      <c r="A34" s="31"/>
      <c r="B34" s="18"/>
      <c r="C34" s="35"/>
      <c r="D34" s="15"/>
      <c r="E34" s="15"/>
      <c r="F34" s="16"/>
    </row>
    <row r="35" spans="1:6" ht="11" customHeight="1" x14ac:dyDescent="0.2">
      <c r="A35" s="31"/>
      <c r="B35" s="18"/>
      <c r="C35" s="35"/>
      <c r="D35" s="15"/>
      <c r="E35" s="15"/>
      <c r="F35" s="16"/>
    </row>
    <row r="36" spans="1:6" ht="11" customHeight="1" x14ac:dyDescent="0.2">
      <c r="A36" s="31"/>
      <c r="B36" s="18"/>
      <c r="C36" s="10"/>
      <c r="D36" s="15"/>
      <c r="E36" s="15"/>
      <c r="F36" s="16"/>
    </row>
    <row r="37" spans="1:6" ht="11" customHeight="1" x14ac:dyDescent="0.2">
      <c r="A37" s="31"/>
      <c r="B37" s="18"/>
      <c r="C37" s="2"/>
      <c r="D37" s="15"/>
      <c r="E37" s="15"/>
      <c r="F37" s="16"/>
    </row>
    <row r="38" spans="1:6" ht="11" customHeight="1" x14ac:dyDescent="0.2">
      <c r="A38" s="31"/>
      <c r="B38" s="18"/>
      <c r="C38" s="2"/>
      <c r="D38" s="15"/>
      <c r="E38" s="15"/>
      <c r="F38" s="16"/>
    </row>
    <row r="39" spans="1:6" ht="11" customHeight="1" x14ac:dyDescent="0.2">
      <c r="A39" s="2"/>
      <c r="B39" s="18"/>
      <c r="C39" s="2"/>
      <c r="D39" s="15"/>
      <c r="E39" s="15"/>
      <c r="F39" s="16"/>
    </row>
    <row r="40" spans="1:6" ht="11" customHeight="1" thickBot="1" x14ac:dyDescent="0.25">
      <c r="A40" s="1"/>
      <c r="B40" s="19"/>
      <c r="C40" s="1"/>
      <c r="D40" s="20"/>
      <c r="E40" s="20"/>
      <c r="F40" s="22"/>
    </row>
    <row r="41" spans="1:6" ht="10.5" customHeight="1" x14ac:dyDescent="0.2">
      <c r="A41" s="21"/>
      <c r="B41" s="7"/>
      <c r="D41" s="21"/>
      <c r="E41" s="21"/>
      <c r="F41" s="21"/>
    </row>
    <row r="42" spans="1:6" ht="18" customHeight="1" thickBot="1" x14ac:dyDescent="0.25">
      <c r="A42" s="7"/>
      <c r="C42" s="4"/>
      <c r="D42" s="28" t="s">
        <v>12</v>
      </c>
      <c r="E42" s="48">
        <f>SUM(F19:F40)</f>
        <v>3324999.7</v>
      </c>
      <c r="F42" s="48"/>
    </row>
    <row r="43" spans="1:6" ht="7.5" customHeight="1" x14ac:dyDescent="0.2">
      <c r="A43" s="7"/>
      <c r="C43" s="4"/>
      <c r="D43" s="24"/>
      <c r="E43" s="25"/>
      <c r="F43" s="25"/>
    </row>
    <row r="44" spans="1:6" ht="18" customHeight="1" thickBot="1" x14ac:dyDescent="0.25">
      <c r="A44" s="7"/>
      <c r="C44" s="4"/>
      <c r="D44" s="28" t="s">
        <v>10</v>
      </c>
      <c r="E44" s="27"/>
      <c r="F44" s="29">
        <v>46112</v>
      </c>
    </row>
    <row r="45" spans="1:6" ht="18" customHeight="1" x14ac:dyDescent="0.2">
      <c r="A45" s="7"/>
      <c r="C45" s="4"/>
      <c r="D45" s="24"/>
      <c r="E45" s="25"/>
      <c r="F45" s="25"/>
    </row>
    <row r="46" spans="1:6" ht="9.75" customHeight="1" x14ac:dyDescent="0.2"/>
    <row r="47" spans="1:6" ht="18" customHeight="1" x14ac:dyDescent="0.2">
      <c r="A47" s="4" t="s">
        <v>7</v>
      </c>
      <c r="B47" s="38" t="s">
        <v>21</v>
      </c>
      <c r="C47" s="39"/>
      <c r="D47" s="39"/>
    </row>
    <row r="48" spans="1:6" ht="18" customHeight="1" x14ac:dyDescent="0.2">
      <c r="A48" s="4"/>
      <c r="B48" s="38" t="s">
        <v>22</v>
      </c>
      <c r="C48" s="39"/>
      <c r="D48" s="39"/>
    </row>
    <row r="49" spans="1:6" ht="18" customHeight="1" x14ac:dyDescent="0.2">
      <c r="A49" t="s">
        <v>8</v>
      </c>
      <c r="B49" s="50" t="s">
        <v>15</v>
      </c>
      <c r="C49" s="39"/>
      <c r="D49" s="39"/>
    </row>
    <row r="50" spans="1:6" ht="18" customHeight="1" x14ac:dyDescent="0.2">
      <c r="A50" t="s">
        <v>8</v>
      </c>
      <c r="B50" s="38" t="s">
        <v>23</v>
      </c>
      <c r="C50" s="39"/>
      <c r="D50" s="39"/>
    </row>
    <row r="51" spans="1:6" ht="18" customHeight="1" x14ac:dyDescent="0.2">
      <c r="B51" s="39" t="s">
        <v>9</v>
      </c>
      <c r="C51" s="39"/>
      <c r="D51" s="39"/>
    </row>
    <row r="52" spans="1:6" ht="18" customHeight="1" x14ac:dyDescent="0.2">
      <c r="A52" t="s">
        <v>8</v>
      </c>
      <c r="B52" s="38" t="s">
        <v>24</v>
      </c>
      <c r="C52" s="39"/>
      <c r="D52" s="39"/>
    </row>
    <row r="53" spans="1:6" ht="18" customHeight="1" x14ac:dyDescent="0.2">
      <c r="B53" s="32" t="s">
        <v>17</v>
      </c>
      <c r="C53" s="30"/>
      <c r="D53" s="30"/>
      <c r="E53" s="30"/>
      <c r="F53" s="30"/>
    </row>
    <row r="54" spans="1:6" ht="18" customHeight="1" x14ac:dyDescent="0.2">
      <c r="B54" s="38" t="s">
        <v>16</v>
      </c>
      <c r="C54" s="39"/>
      <c r="D54" s="39"/>
    </row>
    <row r="55" spans="1:6" ht="18" customHeight="1" x14ac:dyDescent="0.2">
      <c r="B55" s="4" t="s">
        <v>28</v>
      </c>
      <c r="C55" t="s">
        <v>29</v>
      </c>
    </row>
    <row r="56" spans="1:6" ht="18" customHeight="1" x14ac:dyDescent="0.2">
      <c r="A56" s="47"/>
      <c r="B56" s="47"/>
      <c r="C56" s="47"/>
      <c r="D56" s="47"/>
      <c r="E56" s="47"/>
      <c r="F56" s="47"/>
    </row>
  </sheetData>
  <mergeCells count="19">
    <mergeCell ref="A56:F56"/>
    <mergeCell ref="E42:F42"/>
    <mergeCell ref="E14:F14"/>
    <mergeCell ref="E15:F15"/>
    <mergeCell ref="B47:D47"/>
    <mergeCell ref="B48:D48"/>
    <mergeCell ref="B49:D49"/>
    <mergeCell ref="B50:D50"/>
    <mergeCell ref="B51:D51"/>
    <mergeCell ref="B52:D52"/>
    <mergeCell ref="B54:D54"/>
    <mergeCell ref="A1:F1"/>
    <mergeCell ref="E13:F13"/>
    <mergeCell ref="A7:E8"/>
    <mergeCell ref="A5:B5"/>
    <mergeCell ref="E10:F10"/>
    <mergeCell ref="E12:F12"/>
    <mergeCell ref="E11:F11"/>
    <mergeCell ref="A4:D4"/>
  </mergeCells>
  <phoneticPr fontId="2"/>
  <pageMargins left="0.70866141732283472" right="0.39370078740157483" top="1.0236220472440944" bottom="0.39370078740157483" header="0" footer="0"/>
  <pageSetup paperSize="9" scale="93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C52D5-4813-420D-B3B1-ABE8CC85718F}">
  <dimension ref="A1"/>
  <sheetViews>
    <sheetView workbookViewId="0"/>
  </sheetViews>
  <sheetFormatPr defaultRowHeight="13" x14ac:dyDescent="0.2"/>
  <sheetData/>
  <phoneticPr fontId="2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48368-0DB3-4076-98F3-A099048EDB1C}">
  <dimension ref="A1"/>
  <sheetViews>
    <sheetView workbookViewId="0"/>
  </sheetViews>
  <sheetFormatPr defaultRowHeight="13" x14ac:dyDescent="0.2"/>
  <sheetData/>
  <phoneticPr fontId="2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請求書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qbicone</dc:creator>
  <cp:lastModifiedBy>暁 塚越</cp:lastModifiedBy>
  <cp:lastPrinted>2025-12-24T08:20:38Z</cp:lastPrinted>
  <dcterms:created xsi:type="dcterms:W3CDTF">2005-06-29T14:10:04Z</dcterms:created>
  <dcterms:modified xsi:type="dcterms:W3CDTF">2026-06-19T13:53:07Z</dcterms:modified>
</cp:coreProperties>
</file>