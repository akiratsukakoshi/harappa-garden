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ukap\Dropbox\PC間やり取り\garden雛形\"/>
    </mc:Choice>
  </mc:AlternateContent>
  <xr:revisionPtr revIDLastSave="0" documentId="8_{9126A2A8-6B65-45EE-85DD-3ECE52212EA7}" xr6:coauthVersionLast="47" xr6:coauthVersionMax="47" xr10:uidLastSave="{00000000-0000-0000-0000-000000000000}"/>
  <bookViews>
    <workbookView xWindow="-110" yWindow="-110" windowWidth="19420" windowHeight="11020" xr2:uid="{081B5B40-D16B-48B4-90A6-6A166CADA8EF}"/>
  </bookViews>
  <sheets>
    <sheet name="見積書_逗子" sheetId="1" r:id="rId1"/>
    <sheet name="Sheet1" sheetId="4" r:id="rId2"/>
    <sheet name="Sheet2" sheetId="5" r:id="rId3"/>
  </sheets>
  <definedNames>
    <definedName name="_xlnm.Print_Area" localSheetId="1">Sheet1!$A$1:$G$37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" l="1"/>
  <c r="F37" i="4"/>
  <c r="E31" i="4"/>
  <c r="E37" i="4"/>
  <c r="E30" i="4"/>
  <c r="E29" i="4"/>
  <c r="E14" i="4"/>
  <c r="E13" i="4"/>
  <c r="E12" i="4"/>
  <c r="E11" i="4"/>
  <c r="E10" i="4"/>
  <c r="E9" i="4"/>
  <c r="E8" i="4"/>
  <c r="E7" i="4"/>
  <c r="E6" i="4"/>
  <c r="F3" i="1"/>
  <c r="F21" i="1"/>
  <c r="F19" i="1"/>
  <c r="F18" i="1"/>
  <c r="F17" i="1"/>
  <c r="F16" i="1"/>
  <c r="F32" i="1"/>
  <c r="F33" i="1"/>
  <c r="F34" i="1"/>
  <c r="C12" i="1"/>
</calcChain>
</file>

<file path=xl/sharedStrings.xml><?xml version="1.0" encoding="utf-8"?>
<sst xmlns="http://schemas.openxmlformats.org/spreadsheetml/2006/main" count="61" uniqueCount="59">
  <si>
    <t>御見積書</t>
    <rPh sb="0" eb="4">
      <t>オミツモリショ</t>
    </rPh>
    <phoneticPr fontId="2"/>
  </si>
  <si>
    <t>下記のとおり御見積り申し上げます。</t>
    <rPh sb="0" eb="2">
      <t>カキ</t>
    </rPh>
    <rPh sb="6" eb="9">
      <t>オミツモリ</t>
    </rPh>
    <rPh sb="10" eb="11">
      <t>モウ</t>
    </rPh>
    <rPh sb="12" eb="13">
      <t>ア</t>
    </rPh>
    <phoneticPr fontId="2"/>
  </si>
  <si>
    <t>有効期限</t>
    <rPh sb="0" eb="2">
      <t>ユウコウ</t>
    </rPh>
    <rPh sb="2" eb="4">
      <t>キゲン</t>
    </rPh>
    <phoneticPr fontId="2"/>
  </si>
  <si>
    <t>合計金額</t>
    <rPh sb="0" eb="2">
      <t>ゴウケイ</t>
    </rPh>
    <rPh sb="2" eb="4">
      <t>キンガク</t>
    </rPh>
    <phoneticPr fontId="2"/>
  </si>
  <si>
    <t>品　　　　名</t>
    <rPh sb="0" eb="1">
      <t>シナ</t>
    </rPh>
    <rPh sb="5" eb="6">
      <t>メイ</t>
    </rPh>
    <phoneticPr fontId="2"/>
  </si>
  <si>
    <t>単　　価</t>
    <rPh sb="0" eb="1">
      <t>タン</t>
    </rPh>
    <rPh sb="3" eb="4">
      <t>アタイ</t>
    </rPh>
    <phoneticPr fontId="2"/>
  </si>
  <si>
    <t>金　　額</t>
    <rPh sb="0" eb="1">
      <t>キン</t>
    </rPh>
    <rPh sb="3" eb="4">
      <t>ガク</t>
    </rPh>
    <phoneticPr fontId="2"/>
  </si>
  <si>
    <t>数　　量</t>
    <rPh sb="0" eb="1">
      <t>カズ</t>
    </rPh>
    <rPh sb="3" eb="4">
      <t>リョウ</t>
    </rPh>
    <phoneticPr fontId="2"/>
  </si>
  <si>
    <t>合　　計</t>
    <rPh sb="0" eb="1">
      <t>ゴウ</t>
    </rPh>
    <rPh sb="3" eb="4">
      <t>ケイ</t>
    </rPh>
    <phoneticPr fontId="2"/>
  </si>
  <si>
    <t>消費税等</t>
    <rPh sb="0" eb="3">
      <t>ショウヒゼイ</t>
    </rPh>
    <rPh sb="3" eb="4">
      <t>ナド</t>
    </rPh>
    <phoneticPr fontId="2"/>
  </si>
  <si>
    <t>小　　計</t>
    <rPh sb="0" eb="1">
      <t>ショウ</t>
    </rPh>
    <rPh sb="3" eb="4">
      <t>ケイ</t>
    </rPh>
    <phoneticPr fontId="2"/>
  </si>
  <si>
    <t>様</t>
    <rPh sb="0" eb="1">
      <t>サマ</t>
    </rPh>
    <phoneticPr fontId="2"/>
  </si>
  <si>
    <t>見積№</t>
    <rPh sb="0" eb="2">
      <t>ミツモリ</t>
    </rPh>
    <phoneticPr fontId="2"/>
  </si>
  <si>
    <t>見積日</t>
    <rPh sb="0" eb="2">
      <t>ミツモリ</t>
    </rPh>
    <rPh sb="2" eb="3">
      <t>ビ</t>
    </rPh>
    <phoneticPr fontId="2"/>
  </si>
  <si>
    <t>TEL 046-873-1695</t>
    <phoneticPr fontId="2"/>
  </si>
  <si>
    <t>tuka@harappa-daigaku.jp</t>
    <phoneticPr fontId="2"/>
  </si>
  <si>
    <r>
      <t>H</t>
    </r>
    <r>
      <rPr>
        <sz val="11"/>
        <rFont val="ＭＳ Ｐゴシック"/>
        <family val="3"/>
        <charset val="128"/>
      </rPr>
      <t>ARAPPA株式会社</t>
    </r>
    <rPh sb="7" eb="11">
      <t>カブシキガイシャ</t>
    </rPh>
    <phoneticPr fontId="2"/>
  </si>
  <si>
    <t>代表取締役 塚越 暁</t>
    <rPh sb="0" eb="2">
      <t>ダイヒョウ</t>
    </rPh>
    <rPh sb="2" eb="5">
      <t>トリシマリヤク</t>
    </rPh>
    <rPh sb="6" eb="8">
      <t>ツカコシ</t>
    </rPh>
    <rPh sb="9" eb="10">
      <t>アキラ</t>
    </rPh>
    <phoneticPr fontId="2"/>
  </si>
  <si>
    <t>〒249-0007</t>
    <phoneticPr fontId="2"/>
  </si>
  <si>
    <t>神奈川県逗子市新宿3-5-40</t>
    <rPh sb="0" eb="4">
      <t>カナガワケン</t>
    </rPh>
    <rPh sb="4" eb="7">
      <t>ズシシ</t>
    </rPh>
    <rPh sb="7" eb="9">
      <t>シンジュク</t>
    </rPh>
    <phoneticPr fontId="2"/>
  </si>
  <si>
    <t>全体</t>
    <rPh sb="0" eb="2">
      <t>ゼンタイ</t>
    </rPh>
    <phoneticPr fontId="2"/>
  </si>
  <si>
    <t>イカダ</t>
    <phoneticPr fontId="2"/>
  </si>
  <si>
    <t>初日ワーク</t>
    <rPh sb="0" eb="2">
      <t>ショニチ</t>
    </rPh>
    <phoneticPr fontId="2"/>
  </si>
  <si>
    <t>アイマスク</t>
    <phoneticPr fontId="2"/>
  </si>
  <si>
    <t>ファイヤスターター</t>
    <phoneticPr fontId="2"/>
  </si>
  <si>
    <t>中古発泡スチロール</t>
    <rPh sb="0" eb="2">
      <t>チュウコ</t>
    </rPh>
    <rPh sb="2" eb="4">
      <t>ハッポウ</t>
    </rPh>
    <phoneticPr fontId="2"/>
  </si>
  <si>
    <t>プラダン</t>
    <phoneticPr fontId="2"/>
  </si>
  <si>
    <t>コンパネ（4㎜厚程度）</t>
    <rPh sb="7" eb="8">
      <t>アツ</t>
    </rPh>
    <rPh sb="8" eb="10">
      <t>テイド</t>
    </rPh>
    <phoneticPr fontId="2"/>
  </si>
  <si>
    <t>竹</t>
    <rPh sb="0" eb="1">
      <t>タケ</t>
    </rPh>
    <phoneticPr fontId="2"/>
  </si>
  <si>
    <t>針金</t>
    <rPh sb="0" eb="2">
      <t>ハリガネ</t>
    </rPh>
    <phoneticPr fontId="2"/>
  </si>
  <si>
    <t>ロープ（10㎜径程度）</t>
    <rPh sb="7" eb="8">
      <t>ケイ</t>
    </rPh>
    <rPh sb="8" eb="10">
      <t>テイド</t>
    </rPh>
    <phoneticPr fontId="2"/>
  </si>
  <si>
    <t>防水テープ</t>
    <rPh sb="0" eb="2">
      <t>ボウスイ</t>
    </rPh>
    <phoneticPr fontId="2"/>
  </si>
  <si>
    <t>廃材各種</t>
    <rPh sb="0" eb="2">
      <t>ハイザイ</t>
    </rPh>
    <rPh sb="2" eb="4">
      <t>カクシュ</t>
    </rPh>
    <phoneticPr fontId="2"/>
  </si>
  <si>
    <t>ユニット単位数量</t>
    <rPh sb="4" eb="6">
      <t>タンイ</t>
    </rPh>
    <rPh sb="6" eb="8">
      <t>スウリョウ</t>
    </rPh>
    <phoneticPr fontId="2"/>
  </si>
  <si>
    <t>ユニット数</t>
    <rPh sb="4" eb="5">
      <t>スウ</t>
    </rPh>
    <phoneticPr fontId="2"/>
  </si>
  <si>
    <t>単価概算</t>
    <rPh sb="0" eb="2">
      <t>タンカ</t>
    </rPh>
    <rPh sb="2" eb="4">
      <t>ガイサン</t>
    </rPh>
    <phoneticPr fontId="2"/>
  </si>
  <si>
    <t>小計</t>
    <rPh sb="0" eb="2">
      <t>ショウケイ</t>
    </rPh>
    <phoneticPr fontId="2"/>
  </si>
  <si>
    <t>角材（30mm角の垂木×2000mm）</t>
    <rPh sb="0" eb="2">
      <t>カクザイ</t>
    </rPh>
    <rPh sb="7" eb="8">
      <t>カク</t>
    </rPh>
    <rPh sb="9" eb="11">
      <t>タルキ</t>
    </rPh>
    <phoneticPr fontId="2"/>
  </si>
  <si>
    <t>ガムテープ</t>
    <phoneticPr fontId="2"/>
  </si>
  <si>
    <t>焚き火 麻ひも用金属アンカー</t>
    <rPh sb="0" eb="1">
      <t>タ</t>
    </rPh>
    <rPh sb="2" eb="3">
      <t>ビ</t>
    </rPh>
    <rPh sb="4" eb="5">
      <t>アサ</t>
    </rPh>
    <rPh sb="7" eb="8">
      <t>ヨウ</t>
    </rPh>
    <rPh sb="8" eb="10">
      <t>キンゾク</t>
    </rPh>
    <phoneticPr fontId="2"/>
  </si>
  <si>
    <t>資材リスト概算</t>
    <rPh sb="0" eb="2">
      <t>シザイ</t>
    </rPh>
    <rPh sb="5" eb="7">
      <t>ガイサン</t>
    </rPh>
    <phoneticPr fontId="2"/>
  </si>
  <si>
    <t>実績</t>
    <rPh sb="0" eb="2">
      <t>ジッセキ</t>
    </rPh>
    <phoneticPr fontId="2"/>
  </si>
  <si>
    <t>※送料込み</t>
    <rPh sb="1" eb="3">
      <t>ソウリョウ</t>
    </rPh>
    <rPh sb="3" eb="4">
      <t>コ</t>
    </rPh>
    <phoneticPr fontId="2"/>
  </si>
  <si>
    <t xml:space="preserve"> 以下、追加</t>
    <rPh sb="1" eb="3">
      <t>イカ</t>
    </rPh>
    <rPh sb="4" eb="6">
      <t>ツイカ</t>
    </rPh>
    <phoneticPr fontId="2"/>
  </si>
  <si>
    <t>ビス類</t>
    <rPh sb="2" eb="3">
      <t>ルイ</t>
    </rPh>
    <phoneticPr fontId="2"/>
  </si>
  <si>
    <t>買い出し時の消費税（外税）</t>
    <rPh sb="0" eb="1">
      <t>カ</t>
    </rPh>
    <rPh sb="2" eb="3">
      <t>ダ</t>
    </rPh>
    <rPh sb="4" eb="5">
      <t>ジ</t>
    </rPh>
    <rPh sb="6" eb="9">
      <t>ショウヒゼイ</t>
    </rPh>
    <rPh sb="10" eb="12">
      <t>ソトゼイ</t>
    </rPh>
    <phoneticPr fontId="2"/>
  </si>
  <si>
    <t>マリンシューズ一式</t>
    <rPh sb="7" eb="9">
      <t>イッシキ</t>
    </rPh>
    <phoneticPr fontId="2"/>
  </si>
  <si>
    <t>防水テープにマージ</t>
    <rPh sb="0" eb="2">
      <t>ボウスイ</t>
    </rPh>
    <phoneticPr fontId="2"/>
  </si>
  <si>
    <t>団扇等</t>
    <rPh sb="0" eb="2">
      <t>ウチワ</t>
    </rPh>
    <rPh sb="2" eb="3">
      <t>トウ</t>
    </rPh>
    <phoneticPr fontId="2"/>
  </si>
  <si>
    <t>当日追加買い出し（ロープ、テープ等）</t>
    <rPh sb="0" eb="2">
      <t>トウジツ</t>
    </rPh>
    <rPh sb="2" eb="4">
      <t>ツイカ</t>
    </rPh>
    <rPh sb="4" eb="5">
      <t>カ</t>
    </rPh>
    <rPh sb="6" eb="7">
      <t>ダ</t>
    </rPh>
    <rPh sb="16" eb="17">
      <t>トウ</t>
    </rPh>
    <phoneticPr fontId="2"/>
  </si>
  <si>
    <t>※サインペン等細かな備品含む</t>
    <rPh sb="6" eb="7">
      <t>トウ</t>
    </rPh>
    <rPh sb="7" eb="8">
      <t>コマ</t>
    </rPh>
    <rPh sb="10" eb="12">
      <t>ビヒン</t>
    </rPh>
    <rPh sb="12" eb="13">
      <t>フク</t>
    </rPh>
    <phoneticPr fontId="2"/>
  </si>
  <si>
    <t>三菱UFJ不動産販売株式会社</t>
    <rPh sb="0" eb="2">
      <t>ミツビシ</t>
    </rPh>
    <rPh sb="5" eb="8">
      <t>フドウサン</t>
    </rPh>
    <rPh sb="8" eb="10">
      <t>ハンバイ</t>
    </rPh>
    <rPh sb="10" eb="14">
      <t>カブシキガイシャ</t>
    </rPh>
    <phoneticPr fontId="2"/>
  </si>
  <si>
    <r>
      <t>資材・備品代</t>
    </r>
    <r>
      <rPr>
        <sz val="6"/>
        <rFont val="ＭＳ Ｐゴシック"/>
        <family val="3"/>
        <charset val="128"/>
      </rPr>
      <t xml:space="preserve"> ※ダンボール、工作備品ほか</t>
    </r>
    <rPh sb="0" eb="2">
      <t>シザイ</t>
    </rPh>
    <rPh sb="3" eb="5">
      <t>ビヒン</t>
    </rPh>
    <rPh sb="5" eb="6">
      <t>ダイ</t>
    </rPh>
    <rPh sb="14" eb="16">
      <t>コウサク</t>
    </rPh>
    <rPh sb="16" eb="18">
      <t>ビヒン</t>
    </rPh>
    <phoneticPr fontId="2"/>
  </si>
  <si>
    <r>
      <t>運営サポートスタッフ　単位：人日</t>
    </r>
    <r>
      <rPr>
        <sz val="6"/>
        <rFont val="ＭＳ Ｐゴシック"/>
        <family val="3"/>
        <charset val="128"/>
      </rPr>
      <t xml:space="preserve"> ※安全管理含む</t>
    </r>
    <rPh sb="0" eb="2">
      <t>ウンエイ</t>
    </rPh>
    <rPh sb="11" eb="13">
      <t>タンイ</t>
    </rPh>
    <rPh sb="14" eb="15">
      <t>ヒト</t>
    </rPh>
    <rPh sb="15" eb="16">
      <t>ニチ</t>
    </rPh>
    <rPh sb="18" eb="20">
      <t>アンゼン</t>
    </rPh>
    <rPh sb="20" eb="22">
      <t>カンリ</t>
    </rPh>
    <rPh sb="22" eb="23">
      <t>フク</t>
    </rPh>
    <phoneticPr fontId="2"/>
  </si>
  <si>
    <r>
      <t>運営・プロデュース費</t>
    </r>
    <r>
      <rPr>
        <sz val="6"/>
        <rFont val="ＭＳ Ｐゴシック"/>
        <family val="3"/>
        <charset val="128"/>
      </rPr>
      <t>　※当日運営</t>
    </r>
    <rPh sb="0" eb="2">
      <t>ウンエイ</t>
    </rPh>
    <rPh sb="9" eb="10">
      <t>ヒ</t>
    </rPh>
    <rPh sb="12" eb="14">
      <t>トウジツ</t>
    </rPh>
    <rPh sb="14" eb="16">
      <t>ウンエイ</t>
    </rPh>
    <phoneticPr fontId="2"/>
  </si>
  <si>
    <r>
      <t>全体企画費</t>
    </r>
    <r>
      <rPr>
        <sz val="6"/>
        <rFont val="ＭＳ Ｐゴシック"/>
        <family val="3"/>
        <charset val="128"/>
      </rPr>
      <t>　※企画設計、プランニング</t>
    </r>
    <rPh sb="0" eb="2">
      <t>ゼンタイ</t>
    </rPh>
    <rPh sb="2" eb="4">
      <t>キカク</t>
    </rPh>
    <rPh sb="4" eb="5">
      <t>ヒ</t>
    </rPh>
    <rPh sb="7" eb="9">
      <t>キカク</t>
    </rPh>
    <rPh sb="9" eb="11">
      <t>セッケイ</t>
    </rPh>
    <phoneticPr fontId="2"/>
  </si>
  <si>
    <r>
      <t>交通費・諸経費</t>
    </r>
    <r>
      <rPr>
        <sz val="6"/>
        <rFont val="ＭＳ Ｐゴシック"/>
        <family val="3"/>
        <charset val="128"/>
      </rPr>
      <t xml:space="preserve"> ※レンタカー、前泊、下見交通費含む</t>
    </r>
    <rPh sb="0" eb="3">
      <t>コウツウヒ</t>
    </rPh>
    <rPh sb="4" eb="5">
      <t>ショ</t>
    </rPh>
    <rPh sb="5" eb="7">
      <t>ケイヒ</t>
    </rPh>
    <rPh sb="15" eb="16">
      <t>マエ</t>
    </rPh>
    <rPh sb="16" eb="17">
      <t>ハク</t>
    </rPh>
    <rPh sb="18" eb="20">
      <t>シタミ</t>
    </rPh>
    <rPh sb="20" eb="23">
      <t>コウツウヒ</t>
    </rPh>
    <rPh sb="23" eb="24">
      <t>フク</t>
    </rPh>
    <phoneticPr fontId="2"/>
  </si>
  <si>
    <r>
      <t xml:space="preserve">資材準備及び手配 </t>
    </r>
    <r>
      <rPr>
        <sz val="6"/>
        <rFont val="ＭＳ Ｐゴシック"/>
        <family val="3"/>
        <charset val="128"/>
      </rPr>
      <t>※事前手配・輸送・運搬含む</t>
    </r>
    <rPh sb="0" eb="2">
      <t>シザイ</t>
    </rPh>
    <rPh sb="2" eb="4">
      <t>ジュンビ</t>
    </rPh>
    <rPh sb="4" eb="5">
      <t>オヨ</t>
    </rPh>
    <rPh sb="6" eb="8">
      <t>テハイ</t>
    </rPh>
    <rPh sb="10" eb="12">
      <t>ジゼン</t>
    </rPh>
    <rPh sb="12" eb="14">
      <t>テハイ</t>
    </rPh>
    <rPh sb="15" eb="17">
      <t>ユソウ</t>
    </rPh>
    <rPh sb="18" eb="20">
      <t>ウンパン</t>
    </rPh>
    <rPh sb="20" eb="21">
      <t>フク</t>
    </rPh>
    <phoneticPr fontId="2"/>
  </si>
  <si>
    <t>三菱UFJ不動産販売様新人研修 
2025年4月4日実施</t>
    <rPh sb="0" eb="2">
      <t>ミツビシ</t>
    </rPh>
    <rPh sb="5" eb="8">
      <t>フドウサン</t>
    </rPh>
    <rPh sb="8" eb="10">
      <t>ハンバイ</t>
    </rPh>
    <rPh sb="10" eb="11">
      <t>サマ</t>
    </rPh>
    <rPh sb="11" eb="13">
      <t>シンジン</t>
    </rPh>
    <rPh sb="13" eb="15">
      <t>ケンシュウ</t>
    </rPh>
    <rPh sb="21" eb="22">
      <t>ネン</t>
    </rPh>
    <rPh sb="23" eb="24">
      <t>ガツ</t>
    </rPh>
    <rPh sb="25" eb="26">
      <t>ニチ</t>
    </rPh>
    <rPh sb="26" eb="28">
      <t>ジッシ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</si>
</sst>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&quot;¥&quot;#,##0&quot;※&quot;;&quot;¥&quot;#,##0&quot;※&quot;;#"/>
    <numFmt numFmtId="180" formatCode="#,##0;&quot;▲&quot;#,##0;#"/>
  </numFmts>
  <fonts count="12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u/>
      <sz val="20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theme="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38" fontId="1" fillId="0" borderId="0" applyFont="0" applyFill="0" applyBorder="0" applyAlignment="0" applyProtection="0"/>
  </cellStyleXfs>
  <cellXfs count="61">
    <xf numFmtId="0" fontId="0" fillId="0" borderId="0" xfId="0"/>
    <xf numFmtId="31" fontId="0" fillId="0" borderId="1" xfId="0" applyNumberFormat="1" applyBorder="1" applyAlignment="1">
      <alignment horizontal="left"/>
    </xf>
    <xf numFmtId="0" fontId="0" fillId="0" borderId="2" xfId="0" applyBorder="1"/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5" fillId="0" borderId="0" xfId="0" applyFont="1"/>
    <xf numFmtId="0" fontId="0" fillId="0" borderId="0" xfId="0" applyAlignment="1"/>
    <xf numFmtId="0" fontId="0" fillId="0" borderId="1" xfId="0" applyBorder="1" applyAlignment="1">
      <alignment horizontal="center"/>
    </xf>
    <xf numFmtId="31" fontId="0" fillId="0" borderId="5" xfId="0" applyNumberFormat="1" applyBorder="1" applyAlignment="1">
      <alignment horizontal="center"/>
    </xf>
    <xf numFmtId="179" fontId="4" fillId="0" borderId="6" xfId="0" applyNumberFormat="1" applyFont="1" applyBorder="1" applyAlignment="1">
      <alignment horizontal="center" vertical="center"/>
    </xf>
    <xf numFmtId="0" fontId="6" fillId="0" borderId="0" xfId="0" applyFont="1"/>
    <xf numFmtId="180" fontId="0" fillId="3" borderId="3" xfId="0" applyNumberFormat="1" applyFill="1" applyBorder="1"/>
    <xf numFmtId="180" fontId="0" fillId="3" borderId="7" xfId="0" applyNumberFormat="1" applyFill="1" applyBorder="1"/>
    <xf numFmtId="0" fontId="7" fillId="0" borderId="0" xfId="0" applyFont="1"/>
    <xf numFmtId="0" fontId="0" fillId="0" borderId="0" xfId="0" applyBorder="1" applyAlignment="1">
      <alignment horizontal="left"/>
    </xf>
    <xf numFmtId="0" fontId="0" fillId="0" borderId="0" xfId="0" applyFont="1"/>
    <xf numFmtId="38" fontId="5" fillId="0" borderId="0" xfId="2" applyFont="1" applyAlignment="1">
      <alignment horizontal="right"/>
    </xf>
    <xf numFmtId="38" fontId="0" fillId="0" borderId="0" xfId="2" applyFont="1"/>
    <xf numFmtId="38" fontId="0" fillId="2" borderId="2" xfId="2" applyFont="1" applyFill="1" applyBorder="1" applyAlignment="1">
      <alignment horizontal="center" vertical="center"/>
    </xf>
    <xf numFmtId="38" fontId="0" fillId="0" borderId="2" xfId="2" applyFont="1" applyBorder="1"/>
    <xf numFmtId="38" fontId="0" fillId="2" borderId="8" xfId="2" applyFont="1" applyFill="1" applyBorder="1" applyAlignment="1">
      <alignment horizontal="center" vertical="center"/>
    </xf>
    <xf numFmtId="38" fontId="11" fillId="4" borderId="0" xfId="2" applyFont="1" applyFill="1" applyAlignment="1">
      <alignment horizontal="center"/>
    </xf>
    <xf numFmtId="38" fontId="11" fillId="0" borderId="0" xfId="2" applyFont="1" applyFill="1" applyAlignment="1">
      <alignment horizontal="center"/>
    </xf>
    <xf numFmtId="38" fontId="0" fillId="0" borderId="0" xfId="2" applyFont="1" applyFill="1"/>
    <xf numFmtId="38" fontId="11" fillId="4" borderId="0" xfId="2" applyFont="1" applyFill="1"/>
    <xf numFmtId="38" fontId="8" fillId="0" borderId="0" xfId="2" applyFont="1"/>
    <xf numFmtId="38" fontId="10" fillId="0" borderId="0" xfId="2" applyFont="1"/>
    <xf numFmtId="38" fontId="10" fillId="0" borderId="0" xfId="2" applyFont="1" applyFill="1"/>
    <xf numFmtId="38" fontId="11" fillId="4" borderId="9" xfId="2" applyFont="1" applyFill="1" applyBorder="1" applyAlignment="1">
      <alignment horizontal="center"/>
    </xf>
    <xf numFmtId="38" fontId="0" fillId="0" borderId="10" xfId="2" applyFont="1" applyFill="1" applyBorder="1"/>
    <xf numFmtId="38" fontId="11" fillId="4" borderId="10" xfId="2" applyFont="1" applyFill="1" applyBorder="1"/>
    <xf numFmtId="38" fontId="0" fillId="0" borderId="10" xfId="2" applyFont="1" applyBorder="1"/>
    <xf numFmtId="38" fontId="8" fillId="5" borderId="0" xfId="2" applyFont="1" applyFill="1"/>
    <xf numFmtId="38" fontId="8" fillId="5" borderId="11" xfId="2" applyFont="1" applyFill="1" applyBorder="1"/>
    <xf numFmtId="0" fontId="10" fillId="0" borderId="12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3" fontId="0" fillId="0" borderId="0" xfId="0" applyNumberFormat="1"/>
    <xf numFmtId="180" fontId="0" fillId="0" borderId="0" xfId="0" applyNumberFormat="1"/>
    <xf numFmtId="9" fontId="0" fillId="0" borderId="0" xfId="1" applyFont="1"/>
    <xf numFmtId="0" fontId="10" fillId="0" borderId="12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8" fillId="0" borderId="0" xfId="0" applyFont="1" applyBorder="1" applyAlignment="1">
      <alignment horizontal="center" wrapText="1"/>
    </xf>
    <xf numFmtId="0" fontId="8" fillId="0" borderId="0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3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left" vertical="top"/>
    </xf>
    <xf numFmtId="0" fontId="9" fillId="0" borderId="15" xfId="0" applyFont="1" applyBorder="1" applyAlignment="1">
      <alignment horizontal="left" vertical="top"/>
    </xf>
    <xf numFmtId="0" fontId="9" fillId="0" borderId="16" xfId="0" applyFont="1" applyBorder="1" applyAlignment="1">
      <alignment horizontal="left" vertical="top"/>
    </xf>
    <xf numFmtId="0" fontId="9" fillId="0" borderId="0" xfId="0" applyFont="1" applyBorder="1" applyAlignment="1">
      <alignment horizontal="left" vertical="top"/>
    </xf>
    <xf numFmtId="0" fontId="9" fillId="0" borderId="17" xfId="0" applyFont="1" applyBorder="1" applyAlignment="1">
      <alignment horizontal="left" vertical="top"/>
    </xf>
    <xf numFmtId="0" fontId="9" fillId="0" borderId="18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9" fillId="0" borderId="19" xfId="0" applyFont="1" applyBorder="1" applyAlignment="1">
      <alignment horizontal="left" vertical="top"/>
    </xf>
    <xf numFmtId="0" fontId="8" fillId="6" borderId="12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0" borderId="1" xfId="0" applyFont="1" applyBorder="1" applyAlignment="1">
      <alignment horizontal="left"/>
    </xf>
  </cellXfs>
  <cellStyles count="3">
    <cellStyle name="パーセント" xfId="1" builtinId="5"/>
    <cellStyle name="桁区切り" xfId="2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463550</xdr:colOff>
      <xdr:row>10</xdr:row>
      <xdr:rowOff>44450</xdr:rowOff>
    </xdr:from>
    <xdr:to>
      <xdr:col>5</xdr:col>
      <xdr:colOff>1085850</xdr:colOff>
      <xdr:row>12</xdr:row>
      <xdr:rowOff>95250</xdr:rowOff>
    </xdr:to>
    <xdr:sp macro="" textlink="">
      <xdr:nvSpPr>
        <xdr:cNvPr id="1107" name="Rectangle 3">
          <a:extLst>
            <a:ext uri="{FF2B5EF4-FFF2-40B4-BE49-F238E27FC236}">
              <a16:creationId xmlns:a16="http://schemas.microsoft.com/office/drawing/2014/main" id="{84E5FB83-C324-5C31-816D-249C215875BC}"/>
            </a:ext>
          </a:extLst>
        </xdr:cNvPr>
        <xdr:cNvSpPr>
          <a:spLocks noChangeArrowheads="1"/>
        </xdr:cNvSpPr>
      </xdr:nvSpPr>
      <xdr:spPr bwMode="auto">
        <a:xfrm>
          <a:off x="5257800" y="2133600"/>
          <a:ext cx="622300" cy="546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381000</xdr:colOff>
      <xdr:row>9</xdr:row>
      <xdr:rowOff>120650</xdr:rowOff>
    </xdr:from>
    <xdr:to>
      <xdr:col>5</xdr:col>
      <xdr:colOff>1085850</xdr:colOff>
      <xdr:row>13</xdr:row>
      <xdr:rowOff>0</xdr:rowOff>
    </xdr:to>
    <xdr:pic>
      <xdr:nvPicPr>
        <xdr:cNvPr id="1108" name="図 2">
          <a:extLst>
            <a:ext uri="{FF2B5EF4-FFF2-40B4-BE49-F238E27FC236}">
              <a16:creationId xmlns:a16="http://schemas.microsoft.com/office/drawing/2014/main" id="{FDF46031-A8C5-0BDA-FF91-710FC07F4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5250" y="2044700"/>
          <a:ext cx="7048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C53A4-09DC-4430-9911-D1FCAFC9F9FE}">
  <sheetPr codeName="Sheet1"/>
  <dimension ref="B1:K40"/>
  <sheetViews>
    <sheetView showGridLines="0" tabSelected="1" workbookViewId="0">
      <selection activeCell="C11" sqref="C11"/>
    </sheetView>
  </sheetViews>
  <sheetFormatPr defaultRowHeight="13" x14ac:dyDescent="0.2"/>
  <cols>
    <col min="1" max="1" width="0.81640625" customWidth="1"/>
    <col min="3" max="3" width="34" customWidth="1"/>
    <col min="4" max="4" width="12" customWidth="1"/>
    <col min="5" max="5" width="13.08984375" style="18" customWidth="1"/>
    <col min="6" max="6" width="16.08984375" bestFit="1" customWidth="1"/>
    <col min="7" max="7" width="1.08984375" customWidth="1"/>
  </cols>
  <sheetData>
    <row r="1" spans="2:6" ht="23.5" x14ac:dyDescent="0.35">
      <c r="B1" s="59" t="s">
        <v>0</v>
      </c>
      <c r="C1" s="59"/>
      <c r="D1" s="59"/>
      <c r="E1" s="59"/>
      <c r="F1" s="59"/>
    </row>
    <row r="2" spans="2:6" x14ac:dyDescent="0.2">
      <c r="E2" s="17" t="s">
        <v>12</v>
      </c>
      <c r="F2" s="8"/>
    </row>
    <row r="3" spans="2:6" ht="21.75" customHeight="1" x14ac:dyDescent="0.2">
      <c r="B3" s="16"/>
      <c r="C3" s="7"/>
      <c r="D3" s="11"/>
      <c r="E3" s="17" t="s">
        <v>13</v>
      </c>
      <c r="F3" s="9">
        <f ca="1">TODAY()</f>
        <v>46192</v>
      </c>
    </row>
    <row r="4" spans="2:6" ht="21.75" customHeight="1" x14ac:dyDescent="0.2">
      <c r="B4" s="60" t="s">
        <v>51</v>
      </c>
      <c r="C4" s="60"/>
      <c r="D4" s="11" t="s">
        <v>11</v>
      </c>
    </row>
    <row r="5" spans="2:6" ht="20.399999999999999" customHeight="1" x14ac:dyDescent="0.2">
      <c r="B5" s="6" t="s">
        <v>1</v>
      </c>
      <c r="E5" s="16" t="s">
        <v>16</v>
      </c>
    </row>
    <row r="6" spans="2:6" x14ac:dyDescent="0.2">
      <c r="E6" s="16" t="s">
        <v>17</v>
      </c>
    </row>
    <row r="7" spans="2:6" x14ac:dyDescent="0.2">
      <c r="B7" s="42" t="s">
        <v>58</v>
      </c>
      <c r="C7" s="43"/>
      <c r="E7" s="16" t="s">
        <v>18</v>
      </c>
    </row>
    <row r="8" spans="2:6" x14ac:dyDescent="0.2">
      <c r="B8" s="44"/>
      <c r="C8" s="44"/>
      <c r="E8" s="16" t="s">
        <v>19</v>
      </c>
    </row>
    <row r="9" spans="2:6" x14ac:dyDescent="0.2">
      <c r="C9" s="15"/>
      <c r="E9" s="14" t="s">
        <v>14</v>
      </c>
    </row>
    <row r="10" spans="2:6" x14ac:dyDescent="0.2">
      <c r="B10" s="14" t="s">
        <v>2</v>
      </c>
      <c r="C10" s="1">
        <v>45016</v>
      </c>
      <c r="E10" t="s">
        <v>15</v>
      </c>
    </row>
    <row r="11" spans="2:6" ht="13.5" thickBot="1" x14ac:dyDescent="0.25"/>
    <row r="12" spans="2:6" ht="25.5" customHeight="1" thickBot="1" x14ac:dyDescent="0.25">
      <c r="B12" s="5" t="s">
        <v>3</v>
      </c>
      <c r="C12" s="10">
        <f>F34</f>
        <v>990000</v>
      </c>
    </row>
    <row r="14" spans="2:6" ht="22.5" customHeight="1" x14ac:dyDescent="0.2">
      <c r="B14" s="57" t="s">
        <v>4</v>
      </c>
      <c r="C14" s="58"/>
      <c r="D14" s="3" t="s">
        <v>7</v>
      </c>
      <c r="E14" s="19" t="s">
        <v>5</v>
      </c>
      <c r="F14" s="4" t="s">
        <v>6</v>
      </c>
    </row>
    <row r="15" spans="2:6" ht="15.65" customHeight="1" x14ac:dyDescent="0.2">
      <c r="B15" s="54" t="s">
        <v>20</v>
      </c>
      <c r="C15" s="55"/>
      <c r="D15" s="55"/>
      <c r="E15" s="55"/>
      <c r="F15" s="56"/>
    </row>
    <row r="16" spans="2:6" ht="22.5" customHeight="1" x14ac:dyDescent="0.2">
      <c r="B16" s="40" t="s">
        <v>55</v>
      </c>
      <c r="C16" s="41"/>
      <c r="D16" s="2">
        <v>1</v>
      </c>
      <c r="E16" s="20">
        <v>300000</v>
      </c>
      <c r="F16" s="12">
        <f t="shared" ref="F16:F21" si="0">D16*E16</f>
        <v>300000</v>
      </c>
    </row>
    <row r="17" spans="2:11" ht="22.5" customHeight="1" x14ac:dyDescent="0.2">
      <c r="B17" s="40" t="s">
        <v>54</v>
      </c>
      <c r="C17" s="41"/>
      <c r="D17" s="2">
        <v>1</v>
      </c>
      <c r="E17" s="20">
        <v>200000</v>
      </c>
      <c r="F17" s="12">
        <f t="shared" si="0"/>
        <v>200000</v>
      </c>
    </row>
    <row r="18" spans="2:11" ht="22.5" customHeight="1" x14ac:dyDescent="0.2">
      <c r="B18" s="40" t="s">
        <v>53</v>
      </c>
      <c r="C18" s="41"/>
      <c r="D18" s="2">
        <v>2</v>
      </c>
      <c r="E18" s="20">
        <v>50000</v>
      </c>
      <c r="F18" s="12">
        <f t="shared" si="0"/>
        <v>100000</v>
      </c>
    </row>
    <row r="19" spans="2:11" ht="22.5" customHeight="1" x14ac:dyDescent="0.2">
      <c r="B19" s="35" t="s">
        <v>52</v>
      </c>
      <c r="C19" s="36"/>
      <c r="D19" s="2">
        <v>1</v>
      </c>
      <c r="E19" s="20">
        <v>50000</v>
      </c>
      <c r="F19" s="12">
        <f t="shared" si="0"/>
        <v>50000</v>
      </c>
    </row>
    <row r="20" spans="2:11" ht="22.5" customHeight="1" x14ac:dyDescent="0.2">
      <c r="B20" s="35" t="s">
        <v>57</v>
      </c>
      <c r="C20" s="36"/>
      <c r="D20" s="2">
        <v>1</v>
      </c>
      <c r="E20" s="20">
        <v>100000</v>
      </c>
      <c r="F20" s="12">
        <f t="shared" si="0"/>
        <v>100000</v>
      </c>
    </row>
    <row r="21" spans="2:11" ht="22.5" customHeight="1" x14ac:dyDescent="0.2">
      <c r="B21" s="35" t="s">
        <v>56</v>
      </c>
      <c r="C21" s="36"/>
      <c r="D21" s="2">
        <v>1</v>
      </c>
      <c r="E21" s="20">
        <v>150000</v>
      </c>
      <c r="F21" s="12">
        <f t="shared" si="0"/>
        <v>150000</v>
      </c>
    </row>
    <row r="22" spans="2:11" ht="22.5" customHeight="1" x14ac:dyDescent="0.2">
      <c r="B22" s="35"/>
      <c r="C22" s="36"/>
      <c r="D22" s="2"/>
      <c r="E22" s="20"/>
      <c r="F22" s="12"/>
    </row>
    <row r="23" spans="2:11" ht="22.5" customHeight="1" x14ac:dyDescent="0.2">
      <c r="B23" s="35"/>
      <c r="C23" s="36"/>
      <c r="D23" s="2"/>
      <c r="E23" s="20"/>
      <c r="F23" s="12"/>
    </row>
    <row r="24" spans="2:11" ht="22.5" customHeight="1" x14ac:dyDescent="0.2">
      <c r="B24" s="40"/>
      <c r="C24" s="41"/>
      <c r="D24" s="2"/>
      <c r="E24" s="20"/>
      <c r="F24" s="12"/>
    </row>
    <row r="25" spans="2:11" ht="22.5" customHeight="1" x14ac:dyDescent="0.2">
      <c r="B25" s="40"/>
      <c r="C25" s="41"/>
      <c r="D25" s="2"/>
      <c r="E25" s="20"/>
      <c r="F25" s="12"/>
    </row>
    <row r="26" spans="2:11" ht="22.5" customHeight="1" x14ac:dyDescent="0.2">
      <c r="B26" s="40"/>
      <c r="C26" s="41"/>
      <c r="D26" s="2"/>
      <c r="E26" s="20"/>
      <c r="F26" s="12"/>
    </row>
    <row r="27" spans="2:11" ht="22.5" customHeight="1" x14ac:dyDescent="0.2">
      <c r="B27" s="40"/>
      <c r="C27" s="41"/>
      <c r="D27" s="2"/>
      <c r="E27" s="20"/>
      <c r="F27" s="12"/>
    </row>
    <row r="28" spans="2:11" ht="22.5" customHeight="1" x14ac:dyDescent="0.2">
      <c r="B28" s="40"/>
      <c r="C28" s="41"/>
      <c r="D28" s="2"/>
      <c r="E28" s="20"/>
      <c r="F28" s="12"/>
    </row>
    <row r="29" spans="2:11" ht="22.5" customHeight="1" x14ac:dyDescent="0.2">
      <c r="B29" s="40"/>
      <c r="C29" s="41"/>
      <c r="D29" s="2"/>
      <c r="E29" s="20"/>
      <c r="F29" s="12"/>
    </row>
    <row r="30" spans="2:11" ht="22.5" customHeight="1" x14ac:dyDescent="0.2">
      <c r="B30" s="35"/>
      <c r="C30" s="36"/>
      <c r="D30" s="2"/>
      <c r="E30" s="20"/>
      <c r="F30" s="12"/>
    </row>
    <row r="31" spans="2:11" ht="22.5" customHeight="1" thickBot="1" x14ac:dyDescent="0.25">
      <c r="B31" s="40"/>
      <c r="C31" s="41"/>
      <c r="D31" s="2"/>
      <c r="E31" s="20"/>
      <c r="F31" s="12"/>
      <c r="K31" s="37"/>
    </row>
    <row r="32" spans="2:11" ht="22.5" customHeight="1" thickTop="1" x14ac:dyDescent="0.2">
      <c r="B32" s="45"/>
      <c r="C32" s="46"/>
      <c r="D32" s="47"/>
      <c r="E32" s="21" t="s">
        <v>10</v>
      </c>
      <c r="F32" s="13">
        <f>SUM(F16:F31)</f>
        <v>900000</v>
      </c>
      <c r="K32" s="37"/>
    </row>
    <row r="33" spans="2:11" ht="22.5" customHeight="1" x14ac:dyDescent="0.2">
      <c r="B33" s="48"/>
      <c r="C33" s="49"/>
      <c r="D33" s="50"/>
      <c r="E33" s="19" t="s">
        <v>9</v>
      </c>
      <c r="F33" s="12">
        <f>ROUNDDOWN(F32*0.1,0)</f>
        <v>90000</v>
      </c>
    </row>
    <row r="34" spans="2:11" ht="22.5" customHeight="1" x14ac:dyDescent="0.2">
      <c r="B34" s="51"/>
      <c r="C34" s="52"/>
      <c r="D34" s="53"/>
      <c r="E34" s="19" t="s">
        <v>8</v>
      </c>
      <c r="F34" s="12">
        <f>F32+F33</f>
        <v>990000</v>
      </c>
    </row>
    <row r="35" spans="2:11" ht="4.5" customHeight="1" x14ac:dyDescent="0.2"/>
    <row r="38" spans="2:11" x14ac:dyDescent="0.2">
      <c r="K38" s="37"/>
    </row>
    <row r="39" spans="2:11" x14ac:dyDescent="0.2">
      <c r="K39" s="38"/>
    </row>
    <row r="40" spans="2:11" x14ac:dyDescent="0.2">
      <c r="K40" s="39"/>
    </row>
  </sheetData>
  <mergeCells count="16">
    <mergeCell ref="B17:C17"/>
    <mergeCell ref="B18:C18"/>
    <mergeCell ref="B26:C26"/>
    <mergeCell ref="B25:C25"/>
    <mergeCell ref="B1:F1"/>
    <mergeCell ref="B4:C4"/>
    <mergeCell ref="B27:C27"/>
    <mergeCell ref="B29:C29"/>
    <mergeCell ref="B7:C8"/>
    <mergeCell ref="B32:D34"/>
    <mergeCell ref="B15:F15"/>
    <mergeCell ref="B31:C31"/>
    <mergeCell ref="B14:C14"/>
    <mergeCell ref="B16:C16"/>
    <mergeCell ref="B24:C24"/>
    <mergeCell ref="B28:C28"/>
  </mergeCells>
  <phoneticPr fontId="2"/>
  <pageMargins left="0.78740157480314965" right="0.39370078740157483" top="0.78740157480314965" bottom="0.39370078740157483" header="0.51181102362204722" footer="0.51181102362204722"/>
  <pageSetup paperSize="9" orientation="portrait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A6B4D-EE0D-4744-9DDB-2DA3CE9C9584}">
  <sheetPr>
    <pageSetUpPr fitToPage="1"/>
  </sheetPr>
  <dimension ref="A1:G37"/>
  <sheetViews>
    <sheetView workbookViewId="0">
      <selection activeCell="A25" sqref="A25"/>
    </sheetView>
  </sheetViews>
  <sheetFormatPr defaultRowHeight="13" x14ac:dyDescent="0.2"/>
  <cols>
    <col min="1" max="1" width="34.54296875" style="18" bestFit="1" customWidth="1"/>
    <col min="2" max="2" width="16" style="18" bestFit="1" customWidth="1"/>
    <col min="3" max="5" width="8.7265625" style="18"/>
    <col min="6" max="6" width="12.6328125" style="18" customWidth="1"/>
    <col min="7" max="7" width="29.1796875" style="27" bestFit="1" customWidth="1"/>
    <col min="8" max="16384" width="8.7265625" style="18"/>
  </cols>
  <sheetData>
    <row r="1" spans="1:7" x14ac:dyDescent="0.2">
      <c r="A1" s="26" t="s">
        <v>40</v>
      </c>
    </row>
    <row r="2" spans="1:7" ht="13.5" thickBot="1" x14ac:dyDescent="0.25"/>
    <row r="3" spans="1:7" x14ac:dyDescent="0.2">
      <c r="A3" s="22"/>
      <c r="B3" s="22" t="s">
        <v>33</v>
      </c>
      <c r="C3" s="22" t="s">
        <v>34</v>
      </c>
      <c r="D3" s="22" t="s">
        <v>35</v>
      </c>
      <c r="E3" s="22" t="s">
        <v>36</v>
      </c>
      <c r="F3" s="29" t="s">
        <v>41</v>
      </c>
    </row>
    <row r="4" spans="1:7" s="24" customFormat="1" x14ac:dyDescent="0.2">
      <c r="A4" s="23"/>
      <c r="B4" s="23"/>
      <c r="C4" s="23"/>
      <c r="D4" s="23"/>
      <c r="E4" s="23"/>
      <c r="F4" s="30"/>
      <c r="G4" s="28"/>
    </row>
    <row r="5" spans="1:7" x14ac:dyDescent="0.2">
      <c r="A5" s="25" t="s">
        <v>21</v>
      </c>
      <c r="B5" s="25"/>
      <c r="C5" s="25"/>
      <c r="D5" s="25"/>
      <c r="E5" s="25"/>
      <c r="F5" s="31"/>
    </row>
    <row r="6" spans="1:7" x14ac:dyDescent="0.2">
      <c r="A6" s="18" t="s">
        <v>25</v>
      </c>
      <c r="B6" s="18">
        <v>30</v>
      </c>
      <c r="C6" s="18">
        <v>6</v>
      </c>
      <c r="D6" s="18">
        <v>200</v>
      </c>
      <c r="E6" s="18">
        <f t="shared" ref="E6:E14" si="0">B6*C6*D6</f>
        <v>36000</v>
      </c>
      <c r="F6" s="32">
        <v>78862</v>
      </c>
      <c r="G6" s="27" t="s">
        <v>42</v>
      </c>
    </row>
    <row r="7" spans="1:7" x14ac:dyDescent="0.2">
      <c r="A7" s="18" t="s">
        <v>37</v>
      </c>
      <c r="B7" s="18">
        <v>12</v>
      </c>
      <c r="C7" s="18">
        <v>6</v>
      </c>
      <c r="D7" s="18">
        <v>200</v>
      </c>
      <c r="E7" s="18">
        <f t="shared" si="0"/>
        <v>14400</v>
      </c>
      <c r="F7" s="32">
        <v>19080</v>
      </c>
    </row>
    <row r="8" spans="1:7" x14ac:dyDescent="0.2">
      <c r="A8" s="18" t="s">
        <v>26</v>
      </c>
      <c r="B8" s="18">
        <v>4</v>
      </c>
      <c r="C8" s="18">
        <v>6</v>
      </c>
      <c r="D8" s="18">
        <v>250</v>
      </c>
      <c r="E8" s="18">
        <f t="shared" si="0"/>
        <v>6000</v>
      </c>
      <c r="F8" s="32">
        <v>4272</v>
      </c>
    </row>
    <row r="9" spans="1:7" x14ac:dyDescent="0.2">
      <c r="A9" s="18" t="s">
        <v>27</v>
      </c>
      <c r="B9" s="18">
        <v>2</v>
      </c>
      <c r="C9" s="18">
        <v>6</v>
      </c>
      <c r="D9" s="18">
        <v>1500</v>
      </c>
      <c r="E9" s="18">
        <f t="shared" si="0"/>
        <v>18000</v>
      </c>
      <c r="F9" s="32">
        <v>5338</v>
      </c>
    </row>
    <row r="10" spans="1:7" x14ac:dyDescent="0.2">
      <c r="A10" s="18" t="s">
        <v>28</v>
      </c>
      <c r="B10" s="18">
        <v>1</v>
      </c>
      <c r="C10" s="18">
        <v>6</v>
      </c>
      <c r="D10" s="18">
        <v>0</v>
      </c>
      <c r="E10" s="18">
        <f t="shared" si="0"/>
        <v>0</v>
      </c>
      <c r="F10" s="32">
        <v>0</v>
      </c>
    </row>
    <row r="11" spans="1:7" x14ac:dyDescent="0.2">
      <c r="A11" s="18" t="s">
        <v>30</v>
      </c>
      <c r="B11" s="18">
        <v>2</v>
      </c>
      <c r="C11" s="18">
        <v>6</v>
      </c>
      <c r="D11" s="18">
        <v>1200</v>
      </c>
      <c r="E11" s="18">
        <f t="shared" si="0"/>
        <v>14400</v>
      </c>
      <c r="F11" s="32">
        <v>4788</v>
      </c>
    </row>
    <row r="12" spans="1:7" x14ac:dyDescent="0.2">
      <c r="A12" s="18" t="s">
        <v>29</v>
      </c>
      <c r="B12" s="18">
        <v>2</v>
      </c>
      <c r="C12" s="18">
        <v>6</v>
      </c>
      <c r="D12" s="18">
        <v>700</v>
      </c>
      <c r="E12" s="18">
        <f t="shared" si="0"/>
        <v>8400</v>
      </c>
      <c r="F12" s="32">
        <v>1596</v>
      </c>
    </row>
    <row r="13" spans="1:7" x14ac:dyDescent="0.2">
      <c r="A13" s="18" t="s">
        <v>31</v>
      </c>
      <c r="B13" s="18">
        <v>2</v>
      </c>
      <c r="C13" s="18">
        <v>6</v>
      </c>
      <c r="D13" s="18">
        <v>900</v>
      </c>
      <c r="E13" s="18">
        <f t="shared" si="0"/>
        <v>10800</v>
      </c>
      <c r="F13" s="32">
        <v>12197</v>
      </c>
    </row>
    <row r="14" spans="1:7" x14ac:dyDescent="0.2">
      <c r="A14" s="18" t="s">
        <v>38</v>
      </c>
      <c r="B14" s="18">
        <v>2</v>
      </c>
      <c r="C14" s="18">
        <v>6</v>
      </c>
      <c r="D14" s="18">
        <v>180</v>
      </c>
      <c r="E14" s="18">
        <f t="shared" si="0"/>
        <v>2160</v>
      </c>
      <c r="F14" s="32">
        <v>0</v>
      </c>
      <c r="G14" s="27" t="s">
        <v>47</v>
      </c>
    </row>
    <row r="15" spans="1:7" x14ac:dyDescent="0.2">
      <c r="A15" s="18" t="s">
        <v>32</v>
      </c>
      <c r="F15" s="32">
        <v>0</v>
      </c>
    </row>
    <row r="16" spans="1:7" x14ac:dyDescent="0.2">
      <c r="A16" s="18" t="s">
        <v>43</v>
      </c>
      <c r="F16" s="32"/>
    </row>
    <row r="17" spans="1:7" x14ac:dyDescent="0.2">
      <c r="A17" s="18" t="s">
        <v>44</v>
      </c>
      <c r="F17" s="32">
        <v>1597</v>
      </c>
    </row>
    <row r="18" spans="1:7" x14ac:dyDescent="0.2">
      <c r="A18" s="18" t="s">
        <v>45</v>
      </c>
      <c r="F18" s="32">
        <v>3425</v>
      </c>
    </row>
    <row r="19" spans="1:7" x14ac:dyDescent="0.2">
      <c r="A19" s="18" t="s">
        <v>46</v>
      </c>
      <c r="F19" s="32">
        <v>24696</v>
      </c>
    </row>
    <row r="20" spans="1:7" x14ac:dyDescent="0.2">
      <c r="A20" s="18" t="s">
        <v>49</v>
      </c>
      <c r="F20" s="32">
        <v>8933</v>
      </c>
    </row>
    <row r="21" spans="1:7" x14ac:dyDescent="0.2">
      <c r="F21" s="32"/>
    </row>
    <row r="22" spans="1:7" x14ac:dyDescent="0.2">
      <c r="F22" s="32"/>
    </row>
    <row r="23" spans="1:7" x14ac:dyDescent="0.2">
      <c r="F23" s="32"/>
    </row>
    <row r="24" spans="1:7" x14ac:dyDescent="0.2">
      <c r="F24" s="32"/>
    </row>
    <row r="25" spans="1:7" x14ac:dyDescent="0.2">
      <c r="F25" s="32"/>
    </row>
    <row r="26" spans="1:7" x14ac:dyDescent="0.2">
      <c r="F26" s="32"/>
    </row>
    <row r="27" spans="1:7" x14ac:dyDescent="0.2">
      <c r="F27" s="32"/>
    </row>
    <row r="28" spans="1:7" x14ac:dyDescent="0.2">
      <c r="A28" s="25" t="s">
        <v>22</v>
      </c>
      <c r="B28" s="25"/>
      <c r="C28" s="25"/>
      <c r="D28" s="25"/>
      <c r="E28" s="25"/>
      <c r="F28" s="31"/>
    </row>
    <row r="29" spans="1:7" x14ac:dyDescent="0.2">
      <c r="A29" s="18" t="s">
        <v>23</v>
      </c>
      <c r="B29" s="18">
        <v>35</v>
      </c>
      <c r="C29" s="18">
        <v>1</v>
      </c>
      <c r="D29" s="18">
        <v>100</v>
      </c>
      <c r="E29" s="18">
        <f>B29*C29*D29</f>
        <v>3500</v>
      </c>
      <c r="F29" s="32">
        <v>4900</v>
      </c>
    </row>
    <row r="30" spans="1:7" x14ac:dyDescent="0.2">
      <c r="A30" s="18" t="s">
        <v>39</v>
      </c>
      <c r="B30" s="18">
        <v>2</v>
      </c>
      <c r="C30" s="18">
        <v>5</v>
      </c>
      <c r="D30" s="18">
        <v>500</v>
      </c>
      <c r="E30" s="18">
        <f>B30*C30*D30</f>
        <v>5000</v>
      </c>
      <c r="F30" s="32">
        <v>5483</v>
      </c>
      <c r="G30" s="27" t="s">
        <v>50</v>
      </c>
    </row>
    <row r="31" spans="1:7" x14ac:dyDescent="0.2">
      <c r="A31" s="18" t="s">
        <v>24</v>
      </c>
      <c r="B31" s="18">
        <v>1</v>
      </c>
      <c r="C31" s="18">
        <v>6</v>
      </c>
      <c r="D31" s="18">
        <v>500</v>
      </c>
      <c r="E31" s="18">
        <f>B31*C31*D31</f>
        <v>3000</v>
      </c>
      <c r="F31" s="32">
        <v>2065</v>
      </c>
    </row>
    <row r="32" spans="1:7" x14ac:dyDescent="0.2">
      <c r="A32" s="18" t="s">
        <v>43</v>
      </c>
      <c r="F32" s="32"/>
    </row>
    <row r="33" spans="1:6" x14ac:dyDescent="0.2">
      <c r="A33" s="18" t="s">
        <v>48</v>
      </c>
      <c r="F33" s="32">
        <v>1080</v>
      </c>
    </row>
    <row r="34" spans="1:6" x14ac:dyDescent="0.2">
      <c r="F34" s="32"/>
    </row>
    <row r="35" spans="1:6" x14ac:dyDescent="0.2">
      <c r="F35" s="32"/>
    </row>
    <row r="36" spans="1:6" x14ac:dyDescent="0.2">
      <c r="F36" s="32"/>
    </row>
    <row r="37" spans="1:6" ht="13.5" thickBot="1" x14ac:dyDescent="0.25">
      <c r="A37" s="33" t="s">
        <v>36</v>
      </c>
      <c r="B37" s="33"/>
      <c r="C37" s="33"/>
      <c r="D37" s="33"/>
      <c r="E37" s="33">
        <f>SUM(E6:E31)</f>
        <v>121660</v>
      </c>
      <c r="F37" s="34">
        <f>SUM(F4:F36)</f>
        <v>178312</v>
      </c>
    </row>
  </sheetData>
  <phoneticPr fontId="2"/>
  <pageMargins left="0.70866141732283472" right="0.70866141732283472" top="0.74803149606299213" bottom="0.74803149606299213" header="0.31496062992125984" footer="0.31496062992125984"/>
  <pageSetup paperSize="9" scale="75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4B54F-0745-4982-8DC9-FFB328C058FF}">
  <dimension ref="A1"/>
  <sheetViews>
    <sheetView workbookViewId="0"/>
  </sheetViews>
  <sheetFormatPr defaultRowHeight="13" x14ac:dyDescent="0.2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見積書_逗子</vt:lpstr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watanabe</dc:creator>
  <cp:lastModifiedBy>暁 塚越</cp:lastModifiedBy>
  <cp:lastPrinted>2019-09-09T06:04:12Z</cp:lastPrinted>
  <dcterms:created xsi:type="dcterms:W3CDTF">2009-02-14T12:31:57Z</dcterms:created>
  <dcterms:modified xsi:type="dcterms:W3CDTF">2026-06-19T13:54:26Z</dcterms:modified>
</cp:coreProperties>
</file>